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heitor.dias\Desktop\Projeto-RPG\"/>
    </mc:Choice>
  </mc:AlternateContent>
  <xr:revisionPtr revIDLastSave="0" documentId="13_ncr:1_{447237AA-89E7-47EF-907F-7DD99284A945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Dados" sheetId="1" r:id="rId1"/>
    <sheet name="Consol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1" l="1"/>
  <c r="F15" i="1"/>
  <c r="H12" i="1"/>
  <c r="D15" i="1"/>
  <c r="D12" i="1" s="1"/>
  <c r="B15" i="1"/>
</calcChain>
</file>

<file path=xl/sharedStrings.xml><?xml version="1.0" encoding="utf-8"?>
<sst xmlns="http://schemas.openxmlformats.org/spreadsheetml/2006/main" count="13" uniqueCount="7">
  <si>
    <t>button -&gt;</t>
  </si>
  <si>
    <t>&lt;- button</t>
  </si>
  <si>
    <t>clear</t>
  </si>
  <si>
    <t>Overheat</t>
  </si>
  <si>
    <t>Cold</t>
  </si>
  <si>
    <t>Invisivel</t>
  </si>
  <si>
    <t>Fuel (l)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</si>
</sst>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Heat (8x)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9328220956013916E-2"/>
          <c:y val="0.18316049382716051"/>
          <c:w val="0.80134403779308783"/>
          <c:h val="0.64955497229512982"/>
        </c:manualLayout>
      </c:layout>
      <c:doughnutChart>
        <c:varyColors val="1"/>
        <c:ser>
          <c:idx val="0"/>
          <c:order val="0"/>
          <c:tx>
            <c:v>Heat</c:v>
          </c:tx>
          <c:dPt>
            <c:idx val="0"/>
            <c:bubble3D val="0"/>
            <c:spPr>
              <a:solidFill>
                <a:srgbClr val="64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25E-4DC9-B988-EC6B22182C07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25E-4DC9-B988-EC6B22182C07}"/>
              </c:ext>
            </c:extLst>
          </c:dPt>
          <c:dPt>
            <c:idx val="2"/>
            <c:bubble3D val="0"/>
            <c:spPr>
              <a:noFill/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525E-4DC9-B988-EC6B22182C07}"/>
              </c:ext>
            </c:extLst>
          </c:dPt>
          <c:cat>
            <c:strRef>
              <c:f>(Dados!$B$13,Dados!$D$13,Dados!$C$13)</c:f>
              <c:strCache>
                <c:ptCount val="3"/>
                <c:pt idx="0">
                  <c:v>Overheat</c:v>
                </c:pt>
                <c:pt idx="1">
                  <c:v>Cold</c:v>
                </c:pt>
                <c:pt idx="2">
                  <c:v>Invisivel</c:v>
                </c:pt>
              </c:strCache>
            </c:strRef>
          </c:cat>
          <c:val>
            <c:numRef>
              <c:f>(Dados!$B$15,Dados!$D$15,Dados!$D$12)</c:f>
              <c:numCache>
                <c:formatCode>General</c:formatCode>
                <c:ptCount val="3"/>
                <c:pt idx="0">
                  <c:v>5</c:v>
                </c:pt>
                <c:pt idx="1">
                  <c:v>3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E-4DC9-B988-EC6B2218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Heat (12x)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9328220956013916E-2"/>
          <c:y val="0.18316049382716051"/>
          <c:w val="0.80134403779308783"/>
          <c:h val="0.64955497229512982"/>
        </c:manualLayout>
      </c:layout>
      <c:doughnutChart>
        <c:varyColors val="1"/>
        <c:ser>
          <c:idx val="0"/>
          <c:order val="0"/>
          <c:tx>
            <c:v>Heat</c:v>
          </c:tx>
          <c:dPt>
            <c:idx val="0"/>
            <c:bubble3D val="0"/>
            <c:spPr>
              <a:solidFill>
                <a:srgbClr val="64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10B-4513-9FA3-76706507710A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10B-4513-9FA3-76706507710A}"/>
              </c:ext>
            </c:extLst>
          </c:dPt>
          <c:dPt>
            <c:idx val="2"/>
            <c:bubble3D val="0"/>
            <c:spPr>
              <a:noFill/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10B-4513-9FA3-76706507710A}"/>
              </c:ext>
            </c:extLst>
          </c:dPt>
          <c:cat>
            <c:strRef>
              <c:f>(Dados!$B$13,Dados!$D$13,Dados!$C$13)</c:f>
              <c:strCache>
                <c:ptCount val="3"/>
                <c:pt idx="0">
                  <c:v>Overheat</c:v>
                </c:pt>
                <c:pt idx="1">
                  <c:v>Cold</c:v>
                </c:pt>
                <c:pt idx="2">
                  <c:v>Invisivel</c:v>
                </c:pt>
              </c:strCache>
            </c:strRef>
          </c:cat>
          <c:val>
            <c:numRef>
              <c:f>(Dados!$F$15,Dados!$H$15,Dados!$H$12)</c:f>
              <c:numCache>
                <c:formatCode>General</c:formatCode>
                <c:ptCount val="3"/>
                <c:pt idx="0">
                  <c:v>5</c:v>
                </c:pt>
                <c:pt idx="1">
                  <c:v>7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0B-4513-9FA3-767065077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Fuel (l)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Dados!$J$13</c:f>
              <c:strCache>
                <c:ptCount val="1"/>
                <c:pt idx="0">
                  <c:v>Fuel (l)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1"/>
              <c:pt idx="0">
                <c:v>Gasosa total</c:v>
              </c:pt>
            </c:strLit>
          </c:cat>
          <c:val>
            <c:numRef>
              <c:f>Dados!$J$14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13-47A4-A12B-3FCEE962D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51202464"/>
        <c:axId val="451202944"/>
      </c:barChart>
      <c:catAx>
        <c:axId val="45120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1202944"/>
        <c:crossesAt val="0"/>
        <c:auto val="1"/>
        <c:lblAlgn val="ctr"/>
        <c:lblOffset val="100"/>
        <c:noMultiLvlLbl val="0"/>
      </c:catAx>
      <c:valAx>
        <c:axId val="45120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120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Heat (8)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9328220956013916E-2"/>
          <c:y val="0.18316049382716051"/>
          <c:w val="0.80134403779308783"/>
          <c:h val="0.64955497229512982"/>
        </c:manualLayout>
      </c:layout>
      <c:doughnutChart>
        <c:varyColors val="1"/>
        <c:ser>
          <c:idx val="0"/>
          <c:order val="0"/>
          <c:tx>
            <c:v>Heat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F8-49B1-8224-78903E25B131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F8-49B1-8224-78903E25B13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F8-49B1-8224-78903E25B131}"/>
              </c:ext>
            </c:extLst>
          </c:dPt>
          <c:cat>
            <c:strRef>
              <c:f>(Dados!$B$13,Dados!$D$13,Dados!$C$13)</c:f>
              <c:strCache>
                <c:ptCount val="3"/>
                <c:pt idx="0">
                  <c:v>Overheat</c:v>
                </c:pt>
                <c:pt idx="1">
                  <c:v>Cold</c:v>
                </c:pt>
                <c:pt idx="2">
                  <c:v>Invisivel</c:v>
                </c:pt>
              </c:strCache>
            </c:strRef>
          </c:cat>
          <c:val>
            <c:numRef>
              <c:f>(Dados!$B$15,Dados!$D$15,Dados!$D$12)</c:f>
              <c:numCache>
                <c:formatCode>General</c:formatCode>
                <c:ptCount val="3"/>
                <c:pt idx="0">
                  <c:v>5</c:v>
                </c:pt>
                <c:pt idx="1">
                  <c:v>3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F8-49B1-8224-78903E25B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Heat (12)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9328220956013916E-2"/>
          <c:y val="0.18316049382716051"/>
          <c:w val="0.80134403779308783"/>
          <c:h val="0.64955497229512982"/>
        </c:manualLayout>
      </c:layout>
      <c:doughnutChart>
        <c:varyColors val="1"/>
        <c:ser>
          <c:idx val="0"/>
          <c:order val="0"/>
          <c:tx>
            <c:v>Heat</c:v>
          </c:tx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EC-4CA7-84EE-0EA4FB5B904A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EC-4CA7-84EE-0EA4FB5B904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1EC-4CA7-84EE-0EA4FB5B904A}"/>
              </c:ext>
            </c:extLst>
          </c:dPt>
          <c:cat>
            <c:strRef>
              <c:f>(Dados!$B$13,Dados!$D$13,Dados!$C$13)</c:f>
              <c:strCache>
                <c:ptCount val="3"/>
                <c:pt idx="0">
                  <c:v>Overheat</c:v>
                </c:pt>
                <c:pt idx="1">
                  <c:v>Cold</c:v>
                </c:pt>
                <c:pt idx="2">
                  <c:v>Invisivel</c:v>
                </c:pt>
              </c:strCache>
            </c:strRef>
          </c:cat>
          <c:val>
            <c:numRef>
              <c:f>(Dados!$F$15,Dados!$H$15,Dados!$H$12)</c:f>
              <c:numCache>
                <c:formatCode>General</c:formatCode>
                <c:ptCount val="3"/>
                <c:pt idx="0">
                  <c:v>5</c:v>
                </c:pt>
                <c:pt idx="1">
                  <c:v>7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EC-4CA7-84EE-0EA4FB5B9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Fuel (l)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Dados!$J$13</c:f>
              <c:strCache>
                <c:ptCount val="1"/>
                <c:pt idx="0">
                  <c:v>Fuel (l)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Gasosa total</c:v>
              </c:pt>
            </c:strLit>
          </c:cat>
          <c:val>
            <c:numRef>
              <c:f>Dados!$J$14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A-4E90-90C7-498E561ECCF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51202464"/>
        <c:axId val="451202944"/>
      </c:barChart>
      <c:catAx>
        <c:axId val="45120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1202944"/>
        <c:crossesAt val="0"/>
        <c:auto val="1"/>
        <c:lblAlgn val="ctr"/>
        <c:lblOffset val="100"/>
        <c:noMultiLvlLbl val="0"/>
      </c:catAx>
      <c:valAx>
        <c:axId val="45120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120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Heat (8x)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9328220956013916E-2"/>
          <c:y val="0.18316049382716051"/>
          <c:w val="0.80134403779308783"/>
          <c:h val="0.64955497229512982"/>
        </c:manualLayout>
      </c:layout>
      <c:doughnutChart>
        <c:varyColors val="1"/>
        <c:ser>
          <c:idx val="0"/>
          <c:order val="0"/>
          <c:tx>
            <c:v>Heat</c:v>
          </c:tx>
          <c:dPt>
            <c:idx val="0"/>
            <c:bubble3D val="0"/>
            <c:spPr>
              <a:solidFill>
                <a:srgbClr val="64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62-4FD8-98CB-635AEF90B3D6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62-4FD8-98CB-635AEF90B3D6}"/>
              </c:ext>
            </c:extLst>
          </c:dPt>
          <c:dPt>
            <c:idx val="2"/>
            <c:bubble3D val="0"/>
            <c:spPr>
              <a:noFill/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362-4FD8-98CB-635AEF90B3D6}"/>
              </c:ext>
            </c:extLst>
          </c:dPt>
          <c:cat>
            <c:strRef>
              <c:f>(Dados!$B$13,Dados!$D$13,Dados!$C$13)</c:f>
              <c:strCache>
                <c:ptCount val="3"/>
                <c:pt idx="0">
                  <c:v>Overheat</c:v>
                </c:pt>
                <c:pt idx="1">
                  <c:v>Cold</c:v>
                </c:pt>
                <c:pt idx="2">
                  <c:v>Invisivel</c:v>
                </c:pt>
              </c:strCache>
            </c:strRef>
          </c:cat>
          <c:val>
            <c:numRef>
              <c:f>(Dados!$B$15,Dados!$D$15,Dados!$D$12)</c:f>
              <c:numCache>
                <c:formatCode>General</c:formatCode>
                <c:ptCount val="3"/>
                <c:pt idx="0">
                  <c:v>5</c:v>
                </c:pt>
                <c:pt idx="1">
                  <c:v>3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62-4FD8-98CB-635AEF90B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Heat (12x)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9328220956013916E-2"/>
          <c:y val="0.18316049382716051"/>
          <c:w val="0.80134403779308783"/>
          <c:h val="0.64955497229512982"/>
        </c:manualLayout>
      </c:layout>
      <c:doughnutChart>
        <c:varyColors val="1"/>
        <c:ser>
          <c:idx val="0"/>
          <c:order val="0"/>
          <c:tx>
            <c:v>Heat</c:v>
          </c:tx>
          <c:dPt>
            <c:idx val="0"/>
            <c:bubble3D val="0"/>
            <c:spPr>
              <a:solidFill>
                <a:srgbClr val="64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28F-426D-A1EC-4E62E08CF788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28F-426D-A1EC-4E62E08CF788}"/>
              </c:ext>
            </c:extLst>
          </c:dPt>
          <c:dPt>
            <c:idx val="2"/>
            <c:bubble3D val="0"/>
            <c:spPr>
              <a:noFill/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28F-426D-A1EC-4E62E08CF788}"/>
              </c:ext>
            </c:extLst>
          </c:dPt>
          <c:cat>
            <c:strRef>
              <c:f>(Dados!$B$13,Dados!$D$13,Dados!$C$13)</c:f>
              <c:strCache>
                <c:ptCount val="3"/>
                <c:pt idx="0">
                  <c:v>Overheat</c:v>
                </c:pt>
                <c:pt idx="1">
                  <c:v>Cold</c:v>
                </c:pt>
                <c:pt idx="2">
                  <c:v>Invisivel</c:v>
                </c:pt>
              </c:strCache>
            </c:strRef>
          </c:cat>
          <c:val>
            <c:numRef>
              <c:f>(Dados!$F$15,Dados!$H$15,Dados!$H$12)</c:f>
              <c:numCache>
                <c:formatCode>General</c:formatCode>
                <c:ptCount val="3"/>
                <c:pt idx="0">
                  <c:v>5</c:v>
                </c:pt>
                <c:pt idx="1">
                  <c:v>7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28F-426D-A1EC-4E62E08CF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43603</xdr:colOff>
      <xdr:row>0</xdr:row>
      <xdr:rowOff>173671</xdr:rowOff>
    </xdr:from>
    <xdr:to>
      <xdr:col>3</xdr:col>
      <xdr:colOff>571560</xdr:colOff>
      <xdr:row>10</xdr:row>
      <xdr:rowOff>146456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B932B7D-96A6-FA0F-10F5-3DC08CB0E9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11906</xdr:colOff>
      <xdr:row>0</xdr:row>
      <xdr:rowOff>154781</xdr:rowOff>
    </xdr:from>
    <xdr:to>
      <xdr:col>7</xdr:col>
      <xdr:colOff>539863</xdr:colOff>
      <xdr:row>10</xdr:row>
      <xdr:rowOff>127566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468F923-000E-428D-93ED-67FED93124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424964</xdr:colOff>
      <xdr:row>0</xdr:row>
      <xdr:rowOff>148737</xdr:rowOff>
    </xdr:from>
    <xdr:to>
      <xdr:col>10</xdr:col>
      <xdr:colOff>212482</xdr:colOff>
      <xdr:row>10</xdr:row>
      <xdr:rowOff>146539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27B77094-0A5F-2902-696F-DF04EF416E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180975</xdr:rowOff>
    </xdr:from>
    <xdr:to>
      <xdr:col>3</xdr:col>
      <xdr:colOff>513669</xdr:colOff>
      <xdr:row>10</xdr:row>
      <xdr:rowOff>153760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6B1F41-6CEA-4AC3-B6F4-8AD76C5189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85725</xdr:colOff>
      <xdr:row>0</xdr:row>
      <xdr:rowOff>171450</xdr:rowOff>
    </xdr:from>
    <xdr:to>
      <xdr:col>6</xdr:col>
      <xdr:colOff>608919</xdr:colOff>
      <xdr:row>10</xdr:row>
      <xdr:rowOff>144235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AB60720-D4F3-4B0C-BAC9-73BDB209A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152400</xdr:colOff>
      <xdr:row>0</xdr:row>
      <xdr:rowOff>171450</xdr:rowOff>
    </xdr:from>
    <xdr:to>
      <xdr:col>9</xdr:col>
      <xdr:colOff>61545</xdr:colOff>
      <xdr:row>10</xdr:row>
      <xdr:rowOff>169252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63C3311-3469-45B4-9538-5028BA7241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600075</xdr:colOff>
      <xdr:row>11</xdr:row>
      <xdr:rowOff>114300</xdr:rowOff>
    </xdr:from>
    <xdr:to>
      <xdr:col>3</xdr:col>
      <xdr:colOff>515501</xdr:colOff>
      <xdr:row>21</xdr:row>
      <xdr:rowOff>87085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F2AB226-2DC1-4845-91ED-C79D114385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57150</xdr:colOff>
      <xdr:row>11</xdr:row>
      <xdr:rowOff>104775</xdr:rowOff>
    </xdr:from>
    <xdr:to>
      <xdr:col>6</xdr:col>
      <xdr:colOff>582176</xdr:colOff>
      <xdr:row>21</xdr:row>
      <xdr:rowOff>77560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0F2BAEA-BAB9-43F6-88C6-7F18FCF613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2:X15"/>
  <sheetViews>
    <sheetView zoomScale="130" zoomScaleNormal="130" workbookViewId="0">
      <selection activeCell="G15" sqref="G15"/>
    </sheetView>
  </sheetViews>
  <sheetFormatPr defaultRowHeight="15" x14ac:dyDescent="0.25"/>
  <cols>
    <col min="10" max="10" width="11" bestFit="1" customWidth="1"/>
    <col min="11" max="11" width="18.42578125" bestFit="1" customWidth="1"/>
  </cols>
  <sheetData>
    <row r="12" spans="2:24" x14ac:dyDescent="0.25">
      <c r="D12">
        <f>SUM(C14,D15)</f>
        <v>8</v>
      </c>
      <c r="H12">
        <f>SUM(G14,H15)</f>
        <v>12</v>
      </c>
    </row>
    <row r="13" spans="2:24" x14ac:dyDescent="0.25">
      <c r="B13" s="1" t="s">
        <v>3</v>
      </c>
      <c r="C13" s="1" t="s">
        <v>5</v>
      </c>
      <c r="D13" s="1" t="s">
        <v>4</v>
      </c>
      <c r="F13" s="1" t="s">
        <v>3</v>
      </c>
      <c r="G13" s="1" t="s">
        <v>5</v>
      </c>
      <c r="H13" s="1" t="s">
        <v>4</v>
      </c>
      <c r="J13" s="1" t="s">
        <v>6</v>
      </c>
      <c r="K13" s="1"/>
    </row>
    <row r="14" spans="2:24" x14ac:dyDescent="0.25">
      <c r="B14" s="1" t="s">
        <v>1</v>
      </c>
      <c r="C14" s="1">
        <v>5</v>
      </c>
      <c r="D14" s="1" t="s">
        <v>0</v>
      </c>
      <c r="F14" s="1" t="s">
        <v>1</v>
      </c>
      <c r="G14" s="1">
        <v>5</v>
      </c>
      <c r="H14" s="1" t="s">
        <v>0</v>
      </c>
      <c r="J14" s="1">
        <v>10</v>
      </c>
      <c r="K14" s="1"/>
      <c r="N14" s="1"/>
      <c r="O14" s="1"/>
      <c r="P14" s="1"/>
      <c r="R14" s="1"/>
      <c r="S14" s="1"/>
      <c r="T14" s="1"/>
      <c r="V14" s="1"/>
      <c r="W14" s="1"/>
      <c r="X14" s="1"/>
    </row>
    <row r="15" spans="2:24" x14ac:dyDescent="0.25">
      <c r="B15" s="1">
        <f>C14</f>
        <v>5</v>
      </c>
      <c r="C15" s="1" t="s">
        <v>2</v>
      </c>
      <c r="D15" s="1">
        <f>8-C14</f>
        <v>3</v>
      </c>
      <c r="F15" s="1">
        <f>G14</f>
        <v>5</v>
      </c>
      <c r="G15" s="1" t="s">
        <v>2</v>
      </c>
      <c r="H15" s="1">
        <f>12-G14</f>
        <v>7</v>
      </c>
      <c r="J15" s="2"/>
      <c r="N15" s="2"/>
      <c r="O15" s="1"/>
      <c r="P15" s="3"/>
      <c r="R15" s="2"/>
      <c r="S15" s="1"/>
      <c r="T15" s="3"/>
      <c r="V15" s="2"/>
      <c r="W15" s="1"/>
      <c r="X15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E0B7F-650C-46F2-AC3E-832E737E5316}">
  <sheetPr codeName="Planilha2"/>
  <dimension ref="A1"/>
  <sheetViews>
    <sheetView tabSelected="1" workbookViewId="0">
      <selection activeCell="H30" sqref="H30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Dados</vt:lpstr>
      <vt:lpstr>Console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Heitor Dias Guimarães</dc:creator>
  <cp:lastModifiedBy>Heitor Guimarães - Metalsider</cp:lastModifiedBy>
  <dcterms:created xsi:type="dcterms:W3CDTF">2015-06-05T18:19:34Z</dcterms:created>
  <dcterms:modified xsi:type="dcterms:W3CDTF">2026-06-26T18:10:05Z</dcterms:modified>
</cp:coreProperties>
</file>